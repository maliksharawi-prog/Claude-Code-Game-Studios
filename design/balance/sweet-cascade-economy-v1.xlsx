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coring Constants" sheetId="2" state="visible" r:id="rId2"/>
    <sheet name="Level Balance" sheetId="3" state="visible" r:id="rId3"/>
    <sheet name="Star Economy" sheetId="4" state="visible" r:id="rId4"/>
    <sheet name="Brewing P2 DRAFT" sheetId="5" state="visible" r:id="rId5"/>
    <sheet name="Monetization DIREC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</fonts>
  <fills count="5">
    <fill>
      <patternFill/>
    </fill>
    <fill>
      <patternFill patternType="gray125"/>
    </fill>
    <fill>
      <patternFill patternType="solid">
        <fgColor rgb="00EEEEEE"/>
      </patternFill>
    </fill>
    <fill>
      <patternFill patternType="solid">
        <fgColor rgb="00FFFF0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1" pivotButton="0" quotePrefix="0" xfId="0"/>
    <xf numFmtId="0" fontId="3" fillId="0" borderId="1" pivotButton="0" quotePrefix="0" xfId="0"/>
    <xf numFmtId="0" fontId="4" fillId="0" borderId="1" pivotButton="0" quotePrefix="0" xfId="0"/>
    <xf numFmtId="9" fontId="4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0" applyAlignment="1" pivotButton="0" quotePrefix="0" xfId="0">
      <alignment vertical="top" wrapText="1"/>
    </xf>
    <xf numFmtId="0" fontId="3" fillId="3" borderId="1" pivotButton="0" quotePrefix="0" xfId="0"/>
    <xf numFmtId="0" fontId="3" fillId="0" borderId="1" applyAlignment="1" pivotButton="0" quotePrefix="0" xfId="0">
      <alignment vertical="top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>
      <c r="A1" s="1" t="inlineStr">
        <is>
          <t>Sweet Cascade — Economy &amp; Balance Workbook v1</t>
        </is>
      </c>
    </row>
    <row r="3" ht="30" customHeight="1">
      <c r="A3" s="2" t="inlineStr">
        <is>
          <t>Date</t>
        </is>
      </c>
      <c r="B3" s="3" t="inlineStr">
        <is>
          <t>2026-07-18</t>
        </is>
      </c>
    </row>
    <row r="4" ht="30" customHeight="1">
      <c r="A4" s="2" t="inlineStr">
        <is>
          <t>Status</t>
        </is>
      </c>
      <c r="B4" s="3" t="inlineStr">
        <is>
          <t>MVP economy = stars only (by design). Brewing = Phase 2 DRAFT scaffold. Monetization = NOT DESIGNED (founder guardrail).</t>
        </is>
      </c>
    </row>
    <row r="5" ht="30" customHeight="1">
      <c r="A5" s="2" t="inlineStr">
        <is>
          <t>Scope</t>
        </is>
      </c>
      <c r="B5" s="3" t="inlineStr">
        <is>
          <t>Consolidates every approved balance number: scoring constants (scoring-stars.md), 10 MVP levels (playable slice config, framework-derived), star/region-gate economy (world-map.md), Phase 2 brewing constraints (special-candies.md §9 + cross-GDD review).</t>
        </is>
      </c>
    </row>
    <row r="6" ht="30" customHeight="1">
      <c r="A6" s="2" t="inlineStr">
        <is>
          <t>Legend</t>
        </is>
      </c>
      <c r="B6" s="3" t="inlineStr">
        <is>
          <t>BLUE text = hardcoded input/lever (edit these) · black = formula (do not overwrite) · YELLOW fill = key assumption or TO-BE-DESIGNED placeholder</t>
        </is>
      </c>
    </row>
    <row r="7" ht="30" customHeight="1">
      <c r="A7" s="2" t="inlineStr">
        <is>
          <t>Sources</t>
        </is>
      </c>
      <c r="B7" s="3" t="inlineStr">
        <is>
          <t>design/gdd/scoring-stars.md · design/gdd/level-data-format.md · design/gdd/world-map.md · design/gdd/special-candies.md · prototypes/playable-slice/index.html (level table) · design/gdd/reviews/all-gdds-review-2026-07-18.md</t>
        </is>
      </c>
    </row>
    <row r="8" ht="30" customHeight="1">
      <c r="A8" s="2" t="inlineStr">
        <is>
          <t>Rule</t>
        </is>
      </c>
      <c r="B8" s="3" t="inlineStr">
        <is>
          <t>Values here MIRROR the GDDs. The GDD is authoritative — a change here must propagate via /propagate-design-change, never silently.</t>
        </is>
      </c>
    </row>
    <row r="9">
      <c r="A9" s="2" t="inlineStr">
        <is>
          <t>Verification</t>
        </is>
      </c>
      <c r="B9" s="8" t="inlineStr">
        <is>
          <t>Formulas verified 2026-07-18 by an independent Python mirror (74/74 formula cells: inputs vs GDD sources, formula strings, half-away-from-zero ROUND results). LibreOffice recalc was unavailable in the build container, so cached values are absent until first open — Excel/Sheets computes them automatically.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52" customWidth="1" min="3" max="3"/>
  </cols>
  <sheetData>
    <row r="1">
      <c r="A1" s="1" t="inlineStr">
        <is>
          <t>Scoring Constants (scoring-stars.md, Reviewed–APPROVED)</t>
        </is>
      </c>
    </row>
    <row r="3">
      <c r="A3" s="4" t="inlineStr">
        <is>
          <t>Constant</t>
        </is>
      </c>
      <c r="B3" s="4" t="inlineStr">
        <is>
          <t>Value</t>
        </is>
      </c>
      <c r="C3" s="4" t="inlineStr">
        <is>
          <t>Source / note</t>
        </is>
      </c>
    </row>
    <row r="4">
      <c r="A4" s="5" t="inlineStr">
        <is>
          <t>TILE_BASE_VALUE (pts per cleared piece)</t>
        </is>
      </c>
      <c r="B4" s="6" t="n">
        <v>20</v>
      </c>
      <c r="C4" s="5" t="inlineStr">
        <is>
          <t>scoring-stars.md Formula 2; prototype-validated</t>
        </is>
      </c>
    </row>
    <row r="5">
      <c r="A5" s="5" t="inlineStr">
        <is>
          <t>Chain multiplier</t>
        </is>
      </c>
      <c r="B5" s="6" t="inlineStr">
        <is>
          <t>linear = chain_index (uncapped)</t>
        </is>
      </c>
      <c r="C5" s="5" t="inlineStr">
        <is>
          <t>Formula 2; bounded by MAX_CASCADE_DEPTH</t>
        </is>
      </c>
    </row>
    <row r="6">
      <c r="A6" s="5" t="inlineStr">
        <is>
          <t>Activation bonus — Striped (per piece)</t>
        </is>
      </c>
      <c r="B6" s="6" t="n">
        <v>60</v>
      </c>
      <c r="C6" s="5" t="inlineStr">
        <is>
          <t>Formula 3 (= 3 × TILE_BASE_VALUE)</t>
        </is>
      </c>
    </row>
    <row r="7">
      <c r="A7" s="5" t="inlineStr">
        <is>
          <t>Activation bonus — Color Bomb (per piece)</t>
        </is>
      </c>
      <c r="B7" s="6" t="n">
        <v>180</v>
      </c>
      <c r="C7" s="5" t="inlineStr">
        <is>
          <t>Formula 3 (= 9 × TILE_BASE_VALUE)</t>
        </is>
      </c>
    </row>
    <row r="8">
      <c r="A8" s="5" t="inlineStr">
        <is>
          <t>MAX_CASCADE_DEPTH</t>
        </is>
      </c>
      <c r="B8" s="6" t="n">
        <v>20</v>
      </c>
      <c r="C8" s="5" t="inlineStr">
        <is>
          <t>board-engine.md (inherited, sole owner)</t>
        </is>
      </c>
    </row>
    <row r="9">
      <c r="A9" s="5" t="inlineStr">
        <is>
          <t>Star fraction — 1★</t>
        </is>
      </c>
      <c r="B9" s="6" t="n">
        <v>0.625</v>
      </c>
      <c r="C9" s="5" t="inlineStr">
        <is>
          <t>Formula 6</t>
        </is>
      </c>
    </row>
    <row r="10">
      <c r="A10" s="5" t="inlineStr">
        <is>
          <t>Star fraction — 2★</t>
        </is>
      </c>
      <c r="B10" s="6" t="n">
        <v>0.8</v>
      </c>
      <c r="C10" s="5" t="inlineStr">
        <is>
          <t>Formula 6</t>
        </is>
      </c>
    </row>
    <row r="11">
      <c r="A11" s="5" t="inlineStr">
        <is>
          <t>Star fraction — 3★</t>
        </is>
      </c>
      <c r="B11" s="6" t="n">
        <v>0.975</v>
      </c>
      <c r="C11" s="5" t="inlineStr">
        <is>
          <t>Formula 6</t>
        </is>
      </c>
    </row>
    <row r="13">
      <c r="A13" s="2" t="inlineStr">
        <is>
          <t>Derived combo pricing (per-piece bonus sums — no lookup table by design)</t>
        </is>
      </c>
    </row>
    <row r="14">
      <c r="A14" s="4" t="inlineStr">
        <is>
          <t>Combo</t>
        </is>
      </c>
      <c r="B14" s="4" t="inlineStr">
        <is>
          <t>Price (pts, chain ×1)</t>
        </is>
      </c>
      <c r="C14" s="4" t="inlineStr">
        <is>
          <t>Derivation</t>
        </is>
      </c>
    </row>
    <row r="15">
      <c r="A15" s="5" t="inlineStr">
        <is>
          <t>Bomb + regular color</t>
        </is>
      </c>
      <c r="B15" s="5">
        <f>B7</f>
        <v/>
      </c>
      <c r="C15" s="5" t="inlineStr">
        <is>
          <t>one bomb consumed</t>
        </is>
      </c>
    </row>
    <row r="16">
      <c r="A16" s="5" t="inlineStr">
        <is>
          <t>Bomb + Striped</t>
        </is>
      </c>
      <c r="B16" s="5">
        <f>B7+B6</f>
        <v/>
      </c>
      <c r="C16" s="5" t="inlineStr">
        <is>
          <t>bomb + stripe consumed</t>
        </is>
      </c>
    </row>
    <row r="17">
      <c r="A17" s="5" t="inlineStr">
        <is>
          <t>Bomb + Bomb</t>
        </is>
      </c>
      <c r="B17" s="5">
        <f>2*B7</f>
        <v/>
      </c>
      <c r="C17" s="5" t="inlineStr">
        <is>
          <t>two bombs consumed</t>
        </is>
      </c>
    </row>
    <row r="18">
      <c r="A18" s="5" t="inlineStr">
        <is>
          <t>Striped + Striped</t>
        </is>
      </c>
      <c r="B18" s="5">
        <f>2*B6</f>
        <v/>
      </c>
      <c r="C18" s="5" t="inlineStr">
        <is>
          <t>two stripes consumed</t>
        </is>
      </c>
    </row>
    <row r="20">
      <c r="A20" s="2" t="inlineStr">
        <is>
          <t>REFERENCE_SCORE_PER_MOVE(K) — function of color-pool size (Formula 4)</t>
        </is>
      </c>
    </row>
    <row r="21">
      <c r="A21" s="4" t="inlineStr">
        <is>
          <t>color_pool size K</t>
        </is>
      </c>
      <c r="B21" s="4" t="inlineStr">
        <is>
          <t>RSPM (pts/move)</t>
        </is>
      </c>
      <c r="C21" s="4" t="inlineStr">
        <is>
          <t>Note</t>
        </is>
      </c>
    </row>
    <row r="22">
      <c r="A22" s="6" t="n">
        <v>3</v>
      </c>
      <c r="B22" s="6" t="n">
        <v>255</v>
      </c>
      <c r="C22" s="5" t="inlineStr">
        <is>
          <t>heuristic ratio; recalibrate at Vertical Slice</t>
        </is>
      </c>
    </row>
    <row r="23">
      <c r="A23" s="6" t="n">
        <v>4</v>
      </c>
      <c r="B23" s="6" t="n">
        <v>185</v>
      </c>
      <c r="C23" s="5" t="inlineStr">
        <is>
          <t>heuristic ratio</t>
        </is>
      </c>
    </row>
    <row r="24">
      <c r="A24" s="6" t="n">
        <v>5</v>
      </c>
      <c r="B24" s="6" t="n">
        <v>160</v>
      </c>
      <c r="C24" s="5" t="inlineStr">
        <is>
          <t>empirical anchor: greedy bot 3,960 / 25 moves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11" customWidth="1" min="3" max="3"/>
    <col width="7" customWidth="1" min="4" max="4"/>
    <col width="7" customWidth="1" min="5" max="5"/>
    <col width="26" customWidth="1" min="6" max="6"/>
    <col width="8" customWidth="1" min="7" max="7"/>
    <col width="8" customWidth="1" min="8" max="8"/>
    <col width="8" customWidth="1" min="9" max="9"/>
    <col width="8" customWidth="1" min="10" max="10"/>
    <col width="9" customWidth="1" min="11" max="11"/>
    <col width="10" customWidth="1" min="12" max="12"/>
    <col width="8" customWidth="1" min="13" max="13"/>
    <col width="8" customWidth="1" min="14" max="14"/>
    <col width="8" customWidth="1" min="15" max="15"/>
    <col width="9" customWidth="1" min="16" max="16"/>
    <col width="22" customWidth="1" min="17" max="17"/>
  </cols>
  <sheetData>
    <row r="1">
      <c r="A1" s="1" t="inlineStr">
        <is>
          <t>10 MVP Levels (authored in playable slice; thresholds framework-derived, rounded)</t>
        </is>
      </c>
    </row>
    <row r="3">
      <c r="A3" s="4" t="inlineStr">
        <is>
          <t>#</t>
        </is>
      </c>
      <c r="B3" s="4" t="inlineStr">
        <is>
          <t>level_id</t>
        </is>
      </c>
      <c r="C3" s="4" t="inlineStr">
        <is>
          <t>board</t>
        </is>
      </c>
      <c r="D3" s="4" t="inlineStr">
        <is>
          <t>pool K</t>
        </is>
      </c>
      <c r="E3" s="4" t="inlineStr">
        <is>
          <t>moves</t>
        </is>
      </c>
      <c r="F3" s="4" t="inlineStr">
        <is>
          <t>objective</t>
        </is>
      </c>
      <c r="G3" s="4" t="inlineStr">
        <is>
          <t>target</t>
        </is>
      </c>
      <c r="H3" s="4" t="inlineStr">
        <is>
          <t>auth 1★</t>
        </is>
      </c>
      <c r="I3" s="4" t="inlineStr">
        <is>
          <t>auth 2★</t>
        </is>
      </c>
      <c r="J3" s="4" t="inlineStr">
        <is>
          <t>auth 3★</t>
        </is>
      </c>
      <c r="K3" s="4" t="inlineStr">
        <is>
          <t>RSPM(K)</t>
        </is>
      </c>
      <c r="L3" s="4" t="inlineStr">
        <is>
          <t>ref_max</t>
        </is>
      </c>
      <c r="M3" s="4" t="inlineStr">
        <is>
          <t>fw 1★</t>
        </is>
      </c>
      <c r="N3" s="4" t="inlineStr">
        <is>
          <t>fw 2★</t>
        </is>
      </c>
      <c r="O3" s="4" t="inlineStr">
        <is>
          <t>fw 3★</t>
        </is>
      </c>
      <c r="P3" s="4" t="inlineStr">
        <is>
          <t>1★ delta</t>
        </is>
      </c>
      <c r="Q3" s="4" t="inlineStr">
        <is>
          <t>difficulty beat</t>
        </is>
      </c>
    </row>
    <row r="4">
      <c r="A4" s="5" t="n">
        <v>1</v>
      </c>
      <c r="B4" s="5" t="inlineStr">
        <is>
          <t>ck-001</t>
        </is>
      </c>
      <c r="C4" s="5" t="inlineStr">
        <is>
          <t>8×8</t>
        </is>
      </c>
      <c r="D4" s="6" t="n">
        <v>4</v>
      </c>
      <c r="E4" s="6" t="n">
        <v>20</v>
      </c>
      <c r="F4" s="5" t="inlineStr">
        <is>
          <t>score</t>
        </is>
      </c>
      <c r="G4" s="6" t="n">
        <v>1800</v>
      </c>
      <c r="H4" s="6" t="n">
        <v>2300</v>
      </c>
      <c r="I4" s="6" t="n">
        <v>2950</v>
      </c>
      <c r="J4" s="6" t="n">
        <v>3600</v>
      </c>
      <c r="K4" s="5">
        <f>INDEX('Scoring Constants'!$B$22:$B$24,MATCH(D4,'Scoring Constants'!$A$22:$A$24,0))</f>
        <v/>
      </c>
      <c r="L4" s="5">
        <f>E4*K4</f>
        <v/>
      </c>
      <c r="M4" s="5">
        <f>ROUND(L4*'Scoring Constants'!$B$9,0)</f>
        <v/>
      </c>
      <c r="N4" s="5">
        <f>ROUND(L4*'Scoring Constants'!$B$10,0)</f>
        <v/>
      </c>
      <c r="O4" s="5">
        <f>ROUND(L4*'Scoring Constants'!$B$11,0)</f>
        <v/>
      </c>
      <c r="P4" s="5">
        <f>H4-M4</f>
        <v/>
      </c>
      <c r="Q4" s="5" t="inlineStr">
        <is>
          <t>easy (teach)</t>
        </is>
      </c>
    </row>
    <row r="5">
      <c r="A5" s="5" t="n">
        <v>2</v>
      </c>
      <c r="B5" s="5" t="inlineStr">
        <is>
          <t>ck-002</t>
        </is>
      </c>
      <c r="C5" s="5" t="inlineStr">
        <is>
          <t>8×8</t>
        </is>
      </c>
      <c r="D5" s="6" t="n">
        <v>5</v>
      </c>
      <c r="E5" s="6" t="n">
        <v>22</v>
      </c>
      <c r="F5" s="5" t="inlineStr">
        <is>
          <t>score</t>
        </is>
      </c>
      <c r="G5" s="6" t="n">
        <v>2000</v>
      </c>
      <c r="H5" s="6" t="n">
        <v>2200</v>
      </c>
      <c r="I5" s="6" t="n">
        <v>2800</v>
      </c>
      <c r="J5" s="6" t="n">
        <v>3450</v>
      </c>
      <c r="K5" s="5">
        <f>INDEX('Scoring Constants'!$B$22:$B$24,MATCH(D5,'Scoring Constants'!$A$22:$A$24,0))</f>
        <v/>
      </c>
      <c r="L5" s="5">
        <f>E5*K5</f>
        <v/>
      </c>
      <c r="M5" s="5">
        <f>ROUND(L5*'Scoring Constants'!$B$9,0)</f>
        <v/>
      </c>
      <c r="N5" s="5">
        <f>ROUND(L5*'Scoring Constants'!$B$10,0)</f>
        <v/>
      </c>
      <c r="O5" s="5">
        <f>ROUND(L5*'Scoring Constants'!$B$11,0)</f>
        <v/>
      </c>
      <c r="P5" s="5">
        <f>H5-M5</f>
        <v/>
      </c>
      <c r="Q5" s="5" t="inlineStr">
        <is>
          <t>easy-med</t>
        </is>
      </c>
    </row>
    <row r="6">
      <c r="A6" s="5" t="n">
        <v>3</v>
      </c>
      <c r="B6" s="5" t="inlineStr">
        <is>
          <t>ck-003</t>
        </is>
      </c>
      <c r="C6" s="5" t="inlineStr">
        <is>
          <t>8×8</t>
        </is>
      </c>
      <c r="D6" s="6" t="n">
        <v>5</v>
      </c>
      <c r="E6" s="6" t="n">
        <v>20</v>
      </c>
      <c r="F6" s="5" t="inlineStr">
        <is>
          <t>collect 40 strawberry</t>
        </is>
      </c>
      <c r="G6" s="6" t="n"/>
      <c r="H6" s="6" t="n">
        <v>2000</v>
      </c>
      <c r="I6" s="6" t="n">
        <v>2550</v>
      </c>
      <c r="J6" s="6" t="n">
        <v>3100</v>
      </c>
      <c r="K6" s="5">
        <f>INDEX('Scoring Constants'!$B$22:$B$24,MATCH(D6,'Scoring Constants'!$A$22:$A$24,0))</f>
        <v/>
      </c>
      <c r="L6" s="5">
        <f>E6*K6</f>
        <v/>
      </c>
      <c r="M6" s="5">
        <f>ROUND(L6*'Scoring Constants'!$B$9,0)</f>
        <v/>
      </c>
      <c r="N6" s="5">
        <f>ROUND(L6*'Scoring Constants'!$B$10,0)</f>
        <v/>
      </c>
      <c r="O6" s="5">
        <f>ROUND(L6*'Scoring Constants'!$B$11,0)</f>
        <v/>
      </c>
      <c r="P6" s="5">
        <f>H6-M6</f>
        <v/>
      </c>
      <c r="Q6" s="5" t="inlineStr">
        <is>
          <t>med (new type)</t>
        </is>
      </c>
    </row>
    <row r="7">
      <c r="A7" s="5" t="n">
        <v>4</v>
      </c>
      <c r="B7" s="5" t="inlineStr">
        <is>
          <t>ck-004</t>
        </is>
      </c>
      <c r="C7" s="5" t="inlineStr">
        <is>
          <t>7×7</t>
        </is>
      </c>
      <c r="D7" s="6" t="n">
        <v>5</v>
      </c>
      <c r="E7" s="6" t="n">
        <v>20</v>
      </c>
      <c r="F7" s="5" t="inlineStr">
        <is>
          <t>score</t>
        </is>
      </c>
      <c r="G7" s="6" t="n">
        <v>2000</v>
      </c>
      <c r="H7" s="6" t="n">
        <v>2000</v>
      </c>
      <c r="I7" s="6" t="n">
        <v>2550</v>
      </c>
      <c r="J7" s="6" t="n">
        <v>3100</v>
      </c>
      <c r="K7" s="5">
        <f>INDEX('Scoring Constants'!$B$22:$B$24,MATCH(D7,'Scoring Constants'!$A$22:$A$24,0))</f>
        <v/>
      </c>
      <c r="L7" s="5">
        <f>E7*K7</f>
        <v/>
      </c>
      <c r="M7" s="5">
        <f>ROUND(L7*'Scoring Constants'!$B$9,0)</f>
        <v/>
      </c>
      <c r="N7" s="5">
        <f>ROUND(L7*'Scoring Constants'!$B$10,0)</f>
        <v/>
      </c>
      <c r="O7" s="5">
        <f>ROUND(L7*'Scoring Constants'!$B$11,0)</f>
        <v/>
      </c>
      <c r="P7" s="5">
        <f>H7-M7</f>
        <v/>
      </c>
      <c r="Q7" s="5" t="inlineStr">
        <is>
          <t>med-hard (small board)</t>
        </is>
      </c>
    </row>
    <row r="8">
      <c r="A8" s="5" t="n">
        <v>5</v>
      </c>
      <c r="B8" s="5" t="inlineStr">
        <is>
          <t>ck-005</t>
        </is>
      </c>
      <c r="C8" s="5" t="inlineStr">
        <is>
          <t>8×8</t>
        </is>
      </c>
      <c r="D8" s="6" t="n">
        <v>5</v>
      </c>
      <c r="E8" s="6" t="n">
        <v>18</v>
      </c>
      <c r="F8" s="5" t="inlineStr">
        <is>
          <t>collect 30 grape + score</t>
        </is>
      </c>
      <c r="G8" s="6" t="n">
        <v>1800</v>
      </c>
      <c r="H8" s="6" t="n">
        <v>1800</v>
      </c>
      <c r="I8" s="6" t="n">
        <v>2300</v>
      </c>
      <c r="J8" s="6" t="n">
        <v>2800</v>
      </c>
      <c r="K8" s="5">
        <f>INDEX('Scoring Constants'!$B$22:$B$24,MATCH(D8,'Scoring Constants'!$A$22:$A$24,0))</f>
        <v/>
      </c>
      <c r="L8" s="5">
        <f>E8*K8</f>
        <v/>
      </c>
      <c r="M8" s="5">
        <f>ROUND(L8*'Scoring Constants'!$B$9,0)</f>
        <v/>
      </c>
      <c r="N8" s="5">
        <f>ROUND(L8*'Scoring Constants'!$B$10,0)</f>
        <v/>
      </c>
      <c r="O8" s="5">
        <f>ROUND(L8*'Scoring Constants'!$B$11,0)</f>
        <v/>
      </c>
      <c r="P8" s="5">
        <f>H8-M8</f>
        <v/>
      </c>
      <c r="Q8" s="5" t="inlineStr">
        <is>
          <t>hard (AND)</t>
        </is>
      </c>
    </row>
    <row r="9">
      <c r="A9" s="5" t="n">
        <v>6</v>
      </c>
      <c r="B9" s="5" t="inlineStr">
        <is>
          <t>ck-006</t>
        </is>
      </c>
      <c r="C9" s="5" t="inlineStr">
        <is>
          <t>8×8</t>
        </is>
      </c>
      <c r="D9" s="6" t="n">
        <v>4</v>
      </c>
      <c r="E9" s="6" t="n">
        <v>20</v>
      </c>
      <c r="F9" s="5" t="inlineStr">
        <is>
          <t>score</t>
        </is>
      </c>
      <c r="G9" s="6" t="n">
        <v>2300</v>
      </c>
      <c r="H9" s="6" t="n">
        <v>2300</v>
      </c>
      <c r="I9" s="6" t="n">
        <v>2950</v>
      </c>
      <c r="J9" s="6" t="n">
        <v>3600</v>
      </c>
      <c r="K9" s="5">
        <f>INDEX('Scoring Constants'!$B$22:$B$24,MATCH(D9,'Scoring Constants'!$A$22:$A$24,0))</f>
        <v/>
      </c>
      <c r="L9" s="5">
        <f>E9*K9</f>
        <v/>
      </c>
      <c r="M9" s="5">
        <f>ROUND(L9*'Scoring Constants'!$B$9,0)</f>
        <v/>
      </c>
      <c r="N9" s="5">
        <f>ROUND(L9*'Scoring Constants'!$B$10,0)</f>
        <v/>
      </c>
      <c r="O9" s="5">
        <f>ROUND(L9*'Scoring Constants'!$B$11,0)</f>
        <v/>
      </c>
      <c r="P9" s="5">
        <f>H9-M9</f>
        <v/>
      </c>
      <c r="Q9" s="5" t="inlineStr">
        <is>
          <t>cooldown</t>
        </is>
      </c>
    </row>
    <row r="10">
      <c r="A10" s="5" t="n">
        <v>7</v>
      </c>
      <c r="B10" s="5" t="inlineStr">
        <is>
          <t>ck-007</t>
        </is>
      </c>
      <c r="C10" s="5" t="inlineStr">
        <is>
          <t>8×8 masked</t>
        </is>
      </c>
      <c r="D10" s="6" t="n">
        <v>5</v>
      </c>
      <c r="E10" s="6" t="n">
        <v>22</v>
      </c>
      <c r="F10" s="5" t="inlineStr">
        <is>
          <t>collect 45 apple</t>
        </is>
      </c>
      <c r="G10" s="6" t="n"/>
      <c r="H10" s="6" t="n">
        <v>2200</v>
      </c>
      <c r="I10" s="6" t="n">
        <v>2800</v>
      </c>
      <c r="J10" s="6" t="n">
        <v>3450</v>
      </c>
      <c r="K10" s="5">
        <f>INDEX('Scoring Constants'!$B$22:$B$24,MATCH(D10,'Scoring Constants'!$A$22:$A$24,0))</f>
        <v/>
      </c>
      <c r="L10" s="5">
        <f>E10*K10</f>
        <v/>
      </c>
      <c r="M10" s="5">
        <f>ROUND(L10*'Scoring Constants'!$B$9,0)</f>
        <v/>
      </c>
      <c r="N10" s="5">
        <f>ROUND(L10*'Scoring Constants'!$B$10,0)</f>
        <v/>
      </c>
      <c r="O10" s="5">
        <f>ROUND(L10*'Scoring Constants'!$B$11,0)</f>
        <v/>
      </c>
      <c r="P10" s="5">
        <f>H10-M10</f>
        <v/>
      </c>
      <c r="Q10" s="5" t="inlineStr">
        <is>
          <t>med (shaped)</t>
        </is>
      </c>
    </row>
    <row r="11">
      <c r="A11" s="5" t="n">
        <v>8</v>
      </c>
      <c r="B11" s="5" t="inlineStr">
        <is>
          <t>ck-008</t>
        </is>
      </c>
      <c r="C11" s="5" t="inlineStr">
        <is>
          <t>8×8</t>
        </is>
      </c>
      <c r="D11" s="6" t="n">
        <v>5</v>
      </c>
      <c r="E11" s="6" t="n">
        <v>16</v>
      </c>
      <c r="F11" s="5" t="inlineStr">
        <is>
          <t>score</t>
        </is>
      </c>
      <c r="G11" s="6" t="n">
        <v>1600</v>
      </c>
      <c r="H11" s="6" t="n">
        <v>1600</v>
      </c>
      <c r="I11" s="6" t="n">
        <v>2050</v>
      </c>
      <c r="J11" s="6" t="n">
        <v>2500</v>
      </c>
      <c r="K11" s="5">
        <f>INDEX('Scoring Constants'!$B$22:$B$24,MATCH(D11,'Scoring Constants'!$A$22:$A$24,0))</f>
        <v/>
      </c>
      <c r="L11" s="5">
        <f>E11*K11</f>
        <v/>
      </c>
      <c r="M11" s="5">
        <f>ROUND(L11*'Scoring Constants'!$B$9,0)</f>
        <v/>
      </c>
      <c r="N11" s="5">
        <f>ROUND(L11*'Scoring Constants'!$B$10,0)</f>
        <v/>
      </c>
      <c r="O11" s="5">
        <f>ROUND(L11*'Scoring Constants'!$B$11,0)</f>
        <v/>
      </c>
      <c r="P11" s="5">
        <f>H11-M11</f>
        <v/>
      </c>
      <c r="Q11" s="5" t="inlineStr">
        <is>
          <t>hard (tight moves)</t>
        </is>
      </c>
    </row>
    <row r="12">
      <c r="A12" s="5" t="n">
        <v>9</v>
      </c>
      <c r="B12" s="5" t="inlineStr">
        <is>
          <t>ck-009</t>
        </is>
      </c>
      <c r="C12" s="5" t="inlineStr">
        <is>
          <t>9×9</t>
        </is>
      </c>
      <c r="D12" s="6" t="n">
        <v>5</v>
      </c>
      <c r="E12" s="6" t="n">
        <v>24</v>
      </c>
      <c r="F12" s="5" t="inlineStr">
        <is>
          <t>collect 40 lemon + 40 citrus</t>
        </is>
      </c>
      <c r="G12" s="6" t="n"/>
      <c r="H12" s="6" t="n">
        <v>2400</v>
      </c>
      <c r="I12" s="6" t="n">
        <v>3050</v>
      </c>
      <c r="J12" s="6" t="n">
        <v>3750</v>
      </c>
      <c r="K12" s="5">
        <f>INDEX('Scoring Constants'!$B$22:$B$24,MATCH(D12,'Scoring Constants'!$A$22:$A$24,0))</f>
        <v/>
      </c>
      <c r="L12" s="5">
        <f>E12*K12</f>
        <v/>
      </c>
      <c r="M12" s="5">
        <f>ROUND(L12*'Scoring Constants'!$B$9,0)</f>
        <v/>
      </c>
      <c r="N12" s="5">
        <f>ROUND(L12*'Scoring Constants'!$B$10,0)</f>
        <v/>
      </c>
      <c r="O12" s="5">
        <f>ROUND(L12*'Scoring Constants'!$B$11,0)</f>
        <v/>
      </c>
      <c r="P12" s="5">
        <f>H12-M12</f>
        <v/>
      </c>
      <c r="Q12" s="5" t="inlineStr">
        <is>
          <t>hard+ (dual collect)</t>
        </is>
      </c>
    </row>
    <row r="13">
      <c r="A13" s="5" t="n">
        <v>10</v>
      </c>
      <c r="B13" s="5" t="inlineStr">
        <is>
          <t>ck-010</t>
        </is>
      </c>
      <c r="C13" s="5" t="inlineStr">
        <is>
          <t>8×8</t>
        </is>
      </c>
      <c r="D13" s="6" t="n">
        <v>5</v>
      </c>
      <c r="E13" s="6" t="n">
        <v>25</v>
      </c>
      <c r="F13" s="5" t="inlineStr">
        <is>
          <t>score</t>
        </is>
      </c>
      <c r="G13" s="6" t="n">
        <v>3200</v>
      </c>
      <c r="H13" s="6" t="n">
        <v>2500</v>
      </c>
      <c r="I13" s="6" t="n">
        <v>3200</v>
      </c>
      <c r="J13" s="6" t="n">
        <v>3900</v>
      </c>
      <c r="K13" s="5">
        <f>INDEX('Scoring Constants'!$B$22:$B$24,MATCH(D13,'Scoring Constants'!$A$22:$A$24,0))</f>
        <v/>
      </c>
      <c r="L13" s="5">
        <f>E13*K13</f>
        <v/>
      </c>
      <c r="M13" s="5">
        <f>ROUND(L13*'Scoring Constants'!$B$9,0)</f>
        <v/>
      </c>
      <c r="N13" s="5">
        <f>ROUND(L13*'Scoring Constants'!$B$10,0)</f>
        <v/>
      </c>
      <c r="O13" s="5">
        <f>ROUND(L13*'Scoring Constants'!$B$11,0)</f>
        <v/>
      </c>
      <c r="P13" s="5">
        <f>H13-M13</f>
        <v/>
      </c>
      <c r="Q13" s="5" t="inlineStr">
        <is>
          <t>finale</t>
        </is>
      </c>
    </row>
    <row r="15">
      <c r="A15" s="3" t="inlineStr">
        <is>
          <t>Deltas ≠ 0 = deliberate rounding to friendly numbers. Objective target &lt; authored 1★ on teach levels is intentional (win floor = 1★). L1/L2 targets softened from greedy-bot data (2026-07-18 balance pass).</t>
        </is>
      </c>
    </row>
  </sheetData>
  <mergeCells count="1">
    <mergeCell ref="A15:Q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6" customWidth="1" min="3" max="3"/>
    <col width="48" customWidth="1" min="4" max="4"/>
  </cols>
  <sheetData>
    <row r="1">
      <c r="A1" s="1" t="inlineStr">
        <is>
          <t>Star Economy (world-map.md — stars are the ONLY progression currency at MVP)</t>
        </is>
      </c>
    </row>
    <row r="3">
      <c r="A3" s="2" t="inlineStr">
        <is>
          <t>REGION_GATE_PERCENT</t>
        </is>
      </c>
      <c r="B3" s="7" t="n">
        <v>0.6</v>
      </c>
      <c r="C3" s="8" t="inlineStr">
        <is>
          <t>world-map.md Formula 1 lever</t>
        </is>
      </c>
    </row>
    <row r="4">
      <c r="A4" t="inlineStr">
        <is>
          <t>Stars per level (max)</t>
        </is>
      </c>
      <c r="B4" s="9" t="n">
        <v>3</v>
      </c>
    </row>
    <row r="5">
      <c r="A5" t="inlineStr">
        <is>
          <t>Levels per region (launch)</t>
        </is>
      </c>
      <c r="B5" s="9" t="n">
        <v>30</v>
      </c>
    </row>
    <row r="6">
      <c r="A6" t="inlineStr">
        <is>
          <t>Levels per region (MVP cut)</t>
        </is>
      </c>
      <c r="B6" s="9" t="n">
        <v>10</v>
      </c>
    </row>
    <row r="8">
      <c r="A8" s="4" t="inlineStr">
        <is>
          <t>Region</t>
        </is>
      </c>
      <c r="B8" s="4" t="inlineStr">
        <is>
          <t>Gate (stars required)</t>
        </is>
      </c>
      <c r="C8" s="4" t="inlineStr">
        <is>
          <t>Max stars available before it</t>
        </is>
      </c>
      <c r="D8" s="4" t="inlineStr">
        <is>
          <t>Note</t>
        </is>
      </c>
    </row>
    <row r="9">
      <c r="A9" s="5" t="inlineStr">
        <is>
          <t>1 — Candy Kingdom Hub</t>
        </is>
      </c>
      <c r="B9" s="5">
        <f>ROUND($B$3*C9,0)</f>
        <v/>
      </c>
      <c r="C9" s="5">
        <f>(1-1)*$B$4*$B$5</f>
        <v/>
      </c>
      <c r="D9" s="5" t="inlineStr">
        <is>
          <t>inert at MVP (single region)</t>
        </is>
      </c>
    </row>
    <row r="10">
      <c r="A10" s="5" t="inlineStr">
        <is>
          <t>2 — Frosted Peak</t>
        </is>
      </c>
      <c r="B10" s="5">
        <f>ROUND($B$3*C10,0)</f>
        <v/>
      </c>
      <c r="C10" s="5">
        <f>(2-1)*$B$4*$B$5</f>
        <v/>
      </c>
      <c r="D10" s="5" t="inlineStr">
        <is>
          <t>reachable at ~2★ average — no 3★ grinding (review-verified)</t>
        </is>
      </c>
    </row>
    <row r="11">
      <c r="A11" s="5" t="inlineStr">
        <is>
          <t>3 — Sundrop Grove</t>
        </is>
      </c>
      <c r="B11" s="5">
        <f>ROUND($B$3*C11,0)</f>
        <v/>
      </c>
      <c r="C11" s="5">
        <f>(3-1)*$B$4*$B$5</f>
        <v/>
      </c>
      <c r="D11" s="5" t="inlineStr">
        <is>
          <t>reachable at ~2★ average — no 3★ grinding (review-verified)</t>
        </is>
      </c>
    </row>
    <row r="12">
      <c r="A12" s="5" t="inlineStr">
        <is>
          <t>4 — Thistleberry Hollow</t>
        </is>
      </c>
      <c r="B12" s="5">
        <f>ROUND($B$3*C12,0)</f>
        <v/>
      </c>
      <c r="C12" s="5">
        <f>(4-1)*$B$4*$B$5</f>
        <v/>
      </c>
      <c r="D12" s="5" t="inlineStr">
        <is>
          <t>reachable at ~2★ average — no 3★ grinding (review-verified)</t>
        </is>
      </c>
    </row>
    <row r="14">
      <c r="A14" s="2" t="inlineStr">
        <is>
          <t>Max obtainable: MVP</t>
        </is>
      </c>
      <c r="B14" s="8">
        <f>B4*B6</f>
        <v/>
      </c>
    </row>
    <row r="15">
      <c r="A15" s="2" t="inlineStr">
        <is>
          <t>Max obtainable: launch (4 regions)</t>
        </is>
      </c>
      <c r="B15" s="8">
        <f>4*B4*B5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  <col width="28" customWidth="1" min="4" max="4"/>
    <col width="18" customWidth="1" min="5" max="5"/>
    <col width="26" customWidth="1" min="6" max="6"/>
  </cols>
  <sheetData>
    <row r="1">
      <c r="A1" s="1" t="inlineStr">
        <is>
          <t>Booster Brewing Economy — Phase 2 SCAFFOLD (hook approved 2026-07-17; GDD gated on friction prototype)</t>
        </is>
      </c>
    </row>
    <row r="3" ht="58" customHeight="1">
      <c r="A3" s="10" t="inlineStr">
        <is>
          <t>BINDING CONSTRAINTS (special-candies.md §9 + cross-GDD review 2026-07-18): (1) ingredient yield MUST be capped or diminishing — NEVER 1:1 of cleared_pieces (one Bomb+Bomb reports 64 cells → unbounded faucet); (2) brewing must FEED the star loop, never compete as a second progression currency; (3) harvest reads match_cleared per-color tallies only (no new board hooks).</t>
        </is>
      </c>
    </row>
    <row r="5">
      <c r="A5" s="4" t="inlineStr">
        <is>
          <t>Ingredient</t>
        </is>
      </c>
      <c r="B5" s="4" t="inlineStr">
        <is>
          <t>Lore region (narrative doc)</t>
        </is>
      </c>
      <c r="C5" s="4" t="inlineStr">
        <is>
          <t>Harvest source (colors)</t>
        </is>
      </c>
      <c r="D5" s="4" t="inlineStr">
        <is>
          <t>Yield rule</t>
        </is>
      </c>
      <c r="E5" s="4" t="inlineStr">
        <is>
          <t>Sink (recipes)</t>
        </is>
      </c>
      <c r="F5" s="4" t="inlineStr">
        <is>
          <t>Status</t>
        </is>
      </c>
    </row>
    <row r="6">
      <c r="A6" s="5" t="inlineStr">
        <is>
          <t>Berry juice</t>
        </is>
      </c>
      <c r="B6" s="5" t="inlineStr">
        <is>
          <t>Thistleberry Hollow</t>
        </is>
      </c>
      <c r="C6" s="5" t="inlineStr">
        <is>
          <t>strawberry + grape tallies</t>
        </is>
      </c>
      <c r="D6" s="11" t="inlineStr">
        <is>
          <t>TO BE DESIGNED (capped/curve)</t>
        </is>
      </c>
      <c r="E6" s="11" t="inlineStr">
        <is>
          <t>TO BE DESIGNED</t>
        </is>
      </c>
      <c r="F6" s="5" t="inlineStr">
        <is>
          <t>awaiting booster-brewing.md</t>
        </is>
      </c>
    </row>
    <row r="7">
      <c r="A7" s="5" t="inlineStr">
        <is>
          <t>Citrus zest</t>
        </is>
      </c>
      <c r="B7" s="5" t="inlineStr">
        <is>
          <t>Sundrop Grove</t>
        </is>
      </c>
      <c r="C7" s="5" t="inlineStr">
        <is>
          <t>citrus + lemon tallies</t>
        </is>
      </c>
      <c r="D7" s="11" t="inlineStr">
        <is>
          <t>TO BE DESIGNED (capped/curve)</t>
        </is>
      </c>
      <c r="E7" s="11" t="inlineStr">
        <is>
          <t>TO BE DESIGNED</t>
        </is>
      </c>
      <c r="F7" s="5" t="inlineStr">
        <is>
          <t>awaiting booster-brewing.md</t>
        </is>
      </c>
    </row>
    <row r="8">
      <c r="A8" s="5" t="inlineStr">
        <is>
          <t>Mint frost</t>
        </is>
      </c>
      <c r="B8" s="5" t="inlineStr">
        <is>
          <t>Frosted Peak</t>
        </is>
      </c>
      <c r="C8" s="5" t="inlineStr">
        <is>
          <t>apple tallies (proposed)</t>
        </is>
      </c>
      <c r="D8" s="11" t="inlineStr">
        <is>
          <t>TO BE DESIGNED (capped/curve)</t>
        </is>
      </c>
      <c r="E8" s="11" t="inlineStr">
        <is>
          <t>TO BE DESIGNED</t>
        </is>
      </c>
      <c r="F8" s="5" t="inlineStr">
        <is>
          <t>awaiting booster-brewing.md</t>
        </is>
      </c>
    </row>
    <row r="10">
      <c r="A10" s="8" t="inlineStr">
        <is>
          <t>Ingredient↔region mapping is the narrative doc's optional lore thread — confirm with game-designer/economy-designer at Phase 2 authoring.</t>
        </is>
      </c>
    </row>
  </sheetData>
  <mergeCells count="2">
    <mergeCell ref="A3:F3"/>
    <mergeCell ref="A10:F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50" customWidth="1" min="3" max="3"/>
    <col width="34" customWidth="1" min="4" max="4"/>
    <col width="30" customWidth="1" min="5" max="5"/>
  </cols>
  <sheetData>
    <row r="1">
      <c r="A1" s="2" t="inlineStr">
        <is>
          <t>Monetization — DIRECTION CHOSEN (founder, 2026-07-18): consumable boosters (IAP) + rewarded-ads hybrid, COMBINED. Detailed design remains Phase 2, gated on co-design with booster-brewing.md (earned loop stays primary).</t>
        </is>
      </c>
    </row>
    <row r="3" ht="56" customHeight="1">
      <c r="A3" s="10" t="inlineStr">
        <is>
          <t>Binding guardrails (game-concept.md anti-pillars): NEVER sell guaranteed level completion (pay-to-win kills Pillar 2); no currency UI shipped (coins/gems in the concept render were EXCLUDED); no lives/energy at MVP; social never punishes or spams. Scoping monetization is a founder decision — the options below are descriptive, not recommendations.</t>
        </is>
      </c>
    </row>
    <row r="5">
      <c r="A5" s="4" t="inlineStr">
        <is>
          <t>Model</t>
        </is>
      </c>
      <c r="B5" s="4" t="inlineStr">
        <is>
          <t>What players buy</t>
        </is>
      </c>
      <c r="C5" s="4" t="inlineStr">
        <is>
          <t>Design cost before shipping</t>
        </is>
      </c>
      <c r="D5" s="4" t="inlineStr">
        <is>
          <t>Pillar risk</t>
        </is>
      </c>
      <c r="E5" s="4" t="inlineStr">
        <is>
          <t>Genre precedent</t>
        </is>
      </c>
      <c r="F5" s="2" t="inlineStr">
        <is>
          <t>Founder decision (2026-07-18)</t>
        </is>
      </c>
    </row>
    <row r="6" ht="40" customHeight="1">
      <c r="A6" s="12" t="inlineStr">
        <is>
          <t>Cosmetic-only</t>
        </is>
      </c>
      <c r="B6" s="12" t="inlineStr">
        <is>
          <t>Fruit skins, board themes, Fizz outfits, trail FX</t>
        </is>
      </c>
      <c r="C6" s="12" t="inlineStr">
        <is>
          <t>Cosmetics pipeline + shop UI + owned-items save schema</t>
        </is>
      </c>
      <c r="D6" s="12" t="inlineStr">
        <is>
          <t>Lowest — zero gameplay impact</t>
        </is>
      </c>
      <c r="E6" s="12" t="inlineStr">
        <is>
          <t>Rare in match-3; common elsewhere</t>
        </is>
      </c>
      <c r="F6" s="8" t="inlineStr">
        <is>
          <t>NOT selected (may return later as add-on)</t>
        </is>
      </c>
    </row>
    <row r="7" ht="40" customHeight="1">
      <c r="A7" s="12" t="inlineStr">
        <is>
          <t>Consumable boosters</t>
        </is>
      </c>
      <c r="B7" s="12" t="inlineStr">
        <is>
          <t>Pre-level boosters / extra moves</t>
        </is>
      </c>
      <c r="C7" s="12" t="inlineStr">
        <is>
          <t>Must reconcile with the EARNED brewing loop (Phase 2) or it undercuts the hook; pricing + pity design</t>
        </is>
      </c>
      <c r="D7" s="12" t="inlineStr">
        <is>
          <t>Medium — extra moves flirt with pay-for-completion</t>
        </is>
      </c>
      <c r="E7" s="12" t="inlineStr">
        <is>
          <t>Candy Crush / Royal Match core model</t>
        </is>
      </c>
      <c r="F7" s="13" t="inlineStr">
        <is>
          <t>SELECTED — Phase 2 design, must reconcile with earned brewing loop</t>
        </is>
      </c>
    </row>
    <row r="8" ht="40" customHeight="1">
      <c r="A8" s="12" t="inlineStr">
        <is>
          <t>Season pass</t>
        </is>
      </c>
      <c r="B8" s="12" t="inlineStr">
        <is>
          <t>Cosmetic + booster reward track per season</t>
        </is>
      </c>
      <c r="C8" s="12" t="inlineStr">
        <is>
          <t>Events engine (Phase 3) prerequisite; season content cadence</t>
        </is>
      </c>
      <c r="D8" s="12" t="inlineStr">
        <is>
          <t>Low-medium if cosmetic-leaning</t>
        </is>
      </c>
      <c r="E8" s="12" t="inlineStr">
        <is>
          <t>Royal Match, most modern match-3</t>
        </is>
      </c>
      <c r="F8" s="8" t="inlineStr">
        <is>
          <t>NOT selected (needs events engine, Phase 3 — revisit then)</t>
        </is>
      </c>
    </row>
    <row r="9" ht="40" customHeight="1">
      <c r="A9" s="12" t="inlineStr">
        <is>
          <t>Ad-supported hybrid</t>
        </is>
      </c>
      <c r="B9" s="12" t="inlineStr">
        <is>
          <t>Optional rewarded ads (booster / retry)</t>
        </is>
      </c>
      <c r="C9" s="12" t="inlineStr">
        <is>
          <t>Ad mediation SDK + placement design + UX guardrails</t>
        </is>
      </c>
      <c r="D9" s="12" t="inlineStr">
        <is>
          <t>Medium — session-flow interruption risk</t>
        </is>
      </c>
      <c r="E9" s="12" t="inlineStr">
        <is>
          <t>Common in casual</t>
        </is>
      </c>
      <c r="F9" s="13" t="inlineStr">
        <is>
          <t>SELECTED — Phase 2 design, placement UX + mediation SDK (future ADR)</t>
        </is>
      </c>
    </row>
    <row r="11">
      <c r="A11" s="8" t="inlineStr">
        <is>
          <t>Binding follow-ups: (1) booster-brewing.md (Phase 2) and the monetization GDD are ONE design task — paid boosters must never obsolete brewed ones; (2) rewarded-ad placements need UX-review sign-off (session-flow guardrail); (3) ad-mediation SDK choice = future ADR; (4) anti-pillars unchanged: no guaranteed-completion sales, no pay-to-win stars.</t>
        </is>
      </c>
    </row>
  </sheetData>
  <mergeCells count="1"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2026-07-18T22:32:44Z</dcterms:created>
  <dcterms:modified xsi:type="dcterms:W3CDTF">2026-07-18T23:04:16Z</dcterms:modified>
</cp:coreProperties>
</file>